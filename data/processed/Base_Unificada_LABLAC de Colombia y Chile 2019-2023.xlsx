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FD701439-0CDD-4A6C-BA12-7F055DFA5D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e unificada" sheetId="1" r:id="rId1"/>
    <sheet name="Resumen de promedios" sheetId="2" r:id="rId2"/>
    <sheet name="Diccionario" sheetId="3" r:id="rId3"/>
    <sheet name="Verificación" sheetId="4" r:id="rId4"/>
    <sheet name="Series para gráficas" sheetId="5" r:id="rId5"/>
  </sheets>
  <definedNames>
    <definedName name="_xlnm._FilterDatabase" localSheetId="0" hidden="1">'Base unificada'!$A$4:$J$44</definedName>
    <definedName name="_xlnm._FilterDatabase" localSheetId="1" hidden="1">'Resumen de promedios'!$A$4:$G$8</definedName>
    <definedName name="_xlnm._FilterDatabase" localSheetId="4" hidden="1">'Series para gráficas'!$A$1:$E$21</definedName>
  </definedNames>
  <calcPr calcId="181029"/>
</workbook>
</file>

<file path=xl/calcChain.xml><?xml version="1.0" encoding="utf-8"?>
<calcChain xmlns="http://schemas.openxmlformats.org/spreadsheetml/2006/main">
  <c r="D6" i="2" l="1"/>
  <c r="D7" i="2"/>
  <c r="D8" i="2"/>
  <c r="A16" i="2"/>
  <c r="I8" i="2"/>
  <c r="H8" i="2"/>
  <c r="I7" i="2"/>
  <c r="H7" i="2"/>
  <c r="I6" i="2"/>
  <c r="H6" i="2"/>
  <c r="J6" i="2" s="1"/>
  <c r="I5" i="2"/>
  <c r="H5" i="2"/>
  <c r="J5" i="2" s="1"/>
  <c r="D5" i="2"/>
  <c r="J7" i="2" l="1"/>
  <c r="J8" i="2"/>
</calcChain>
</file>

<file path=xl/sharedStrings.xml><?xml version="1.0" encoding="utf-8"?>
<sst xmlns="http://schemas.openxmlformats.org/spreadsheetml/2006/main" count="386" uniqueCount="111">
  <si>
    <t>RESUMEN DE PROMEDIOS Y CAMBIOS — LABLAC, 2019–2023</t>
  </si>
  <si>
    <t>Cálculos realizados con las 20 observaciones trimestrales de cada país. Valores expresados en porcentaje; el cambio es final menos inicial, en puntos porcentuales.</t>
  </si>
  <si>
    <t>País</t>
  </si>
  <si>
    <t>Indicador</t>
  </si>
  <si>
    <t>N.º de trimestres</t>
  </si>
  <si>
    <t>Promedio del periodo (%)</t>
  </si>
  <si>
    <t>Valor inicial (%)</t>
  </si>
  <si>
    <t>Valor final (%)</t>
  </si>
  <si>
    <t>Cambio (puntos porcentuales)</t>
  </si>
  <si>
    <t>Suma de los 20 valores</t>
  </si>
  <si>
    <t>Suma ÷ trimestres</t>
  </si>
  <si>
    <t>Colombia</t>
  </si>
  <si>
    <t>Informalidad laboral (%)</t>
  </si>
  <si>
    <t>Asalariados con derecho a pensión (%)</t>
  </si>
  <si>
    <t>Chile</t>
  </si>
  <si>
    <t>Fuente</t>
  </si>
  <si>
    <t>Base unificada de LABLAC (hojas Informality (LP) y Pensions), consultada en septiembre de 2026.</t>
  </si>
  <si>
    <t>Nota de interpretación</t>
  </si>
  <si>
    <t>Cómo se calcula el promedio</t>
  </si>
  <si>
    <t>Promedio = suma de los 20 valores trimestrales del indicador para ese país ÷ número de trimestres (20).</t>
  </si>
  <si>
    <t>BASE UNIFICADA LABLAC — COLOMBIA Y CHILE, 2019–2023</t>
  </si>
  <si>
    <t>40 observaciones país-trimestre. Los indicadores se expresan en porcentaje (escala 0–100), según la columna Total de LABLAC.</t>
  </si>
  <si>
    <t>Encuesta (informalidad)</t>
  </si>
  <si>
    <t>Encuesta (pensiones)</t>
  </si>
  <si>
    <t>Año</t>
  </si>
  <si>
    <t>Trimestre</t>
  </si>
  <si>
    <t>Periodo</t>
  </si>
  <si>
    <t>Periodo original LABLAC (informalidad)</t>
  </si>
  <si>
    <t>Periodo original LABLAC (pensiones)</t>
  </si>
  <si>
    <t>NENE</t>
  </si>
  <si>
    <t>Q1</t>
  </si>
  <si>
    <t>2019-Q1</t>
  </si>
  <si>
    <t>2019 - Jan-Feb-Mar</t>
  </si>
  <si>
    <t>Q2</t>
  </si>
  <si>
    <t>2019-Q2</t>
  </si>
  <si>
    <t>2019 - Apr-May-Jun</t>
  </si>
  <si>
    <t>Q3</t>
  </si>
  <si>
    <t>2019-Q3</t>
  </si>
  <si>
    <t>2019 - Jul-Aug-Sep</t>
  </si>
  <si>
    <t>Q4</t>
  </si>
  <si>
    <t>2019-Q4</t>
  </si>
  <si>
    <t>2019 - Oct-Nov-Dec</t>
  </si>
  <si>
    <t>2020-Q1</t>
  </si>
  <si>
    <t>2020 - Jan-Feb-Mar</t>
  </si>
  <si>
    <t>2020-Q2</t>
  </si>
  <si>
    <t>2020 - Apr-May-Jun</t>
  </si>
  <si>
    <t>2020-Q3</t>
  </si>
  <si>
    <t>2020 - Jul-Aug-Sep</t>
  </si>
  <si>
    <t>2020-Q4</t>
  </si>
  <si>
    <t>2020 - Oct-Nov-Dec</t>
  </si>
  <si>
    <t>2021-Q1</t>
  </si>
  <si>
    <t>2021 - Jan-Feb-Mar</t>
  </si>
  <si>
    <t>2021-Q2</t>
  </si>
  <si>
    <t>2021 - Apr-May-Jun</t>
  </si>
  <si>
    <t>2021-Q3</t>
  </si>
  <si>
    <t>2021 - Jul-Aug-Sep</t>
  </si>
  <si>
    <t>2021-Q4</t>
  </si>
  <si>
    <t>2021 - Oct-Nov-Dec</t>
  </si>
  <si>
    <t>2022-Q1</t>
  </si>
  <si>
    <t>2022 - Jan-Feb-Mar</t>
  </si>
  <si>
    <t>2022-Q2</t>
  </si>
  <si>
    <t>2022 - Apr-May-Jun</t>
  </si>
  <si>
    <t>2022-Q3</t>
  </si>
  <si>
    <t>2022 - Jul-Aug-Sep</t>
  </si>
  <si>
    <t>2022-Q4</t>
  </si>
  <si>
    <t>2022 - Oct-Nov-Dec</t>
  </si>
  <si>
    <t>2023-Q1</t>
  </si>
  <si>
    <t>2023 - Jan-Feb-Mar</t>
  </si>
  <si>
    <t>2023-Q2</t>
  </si>
  <si>
    <t>2023 - Apr-May-Jun</t>
  </si>
  <si>
    <t>2023-Q3</t>
  </si>
  <si>
    <t>2023 - Jul-Aug-Sep</t>
  </si>
  <si>
    <t>2023-Q4</t>
  </si>
  <si>
    <t>2023 - Oct-Nov-Dec</t>
  </si>
  <si>
    <t>GEIH</t>
  </si>
  <si>
    <t>DICCIONARIO DE VARIABLES Y NOTAS METODOLÓGICAS</t>
  </si>
  <si>
    <t>Variable</t>
  </si>
  <si>
    <t>Descripción</t>
  </si>
  <si>
    <t>Chile o Colombia.</t>
  </si>
  <si>
    <t>LABLAC</t>
  </si>
  <si>
    <t>Encuesta nacional identificada en la hoja Informality (LP).</t>
  </si>
  <si>
    <t>Chile: NENE; Colombia: GEIH</t>
  </si>
  <si>
    <t>Encuesta nacional identificada en la hoja Pensions.</t>
  </si>
  <si>
    <t>Año / Trimestre / Periodo</t>
  </si>
  <si>
    <t>Periodo trimestral de la observación, entre 2019-Q1 y 2023-Q4.</t>
  </si>
  <si>
    <t>Indicador Share of adults in informal jobs, columna Total de la hoja Informality (LP).</t>
  </si>
  <si>
    <t>employment_LABLAC_2026_09.xlsx, hoja Informality (LP)</t>
  </si>
  <si>
    <t>Indicador Share of salaried workers with right to pensions when retired, columna Total de la hoja Pensions.</t>
  </si>
  <si>
    <t>labor_benefits_LABLAC_2026_09.xlsx, hoja Pensions</t>
  </si>
  <si>
    <t>Forma de unión</t>
  </si>
  <si>
    <t>Se combinaron los indicadores por País, Periodo, Año y Trimestre.</t>
  </si>
  <si>
    <t>Procesamiento de los dos archivos LABLAC</t>
  </si>
  <si>
    <t>Tamaño de la base</t>
  </si>
  <si>
    <t>40 observaciones: 20 trimestres por país.</t>
  </si>
  <si>
    <t>2019-Q1 a 2023-Q4</t>
  </si>
  <si>
    <t>Fuente general</t>
  </si>
  <si>
    <t>LABLAC (CEDLAS y Banco Mundial), archivos consultados en septiembre de 2026.</t>
  </si>
  <si>
    <t>VERIFICACIÓN DE LA BASE</t>
  </si>
  <si>
    <t>Observaciones</t>
  </si>
  <si>
    <t>Faltantes informalidad</t>
  </si>
  <si>
    <t>Faltantes indicador pensional</t>
  </si>
  <si>
    <t>Total</t>
  </si>
  <si>
    <t>Criterio de unión</t>
  </si>
  <si>
    <t>País + Año + Trimestre. Las encuestas se guardan por separado.</t>
  </si>
  <si>
    <t>Resultado</t>
  </si>
  <si>
    <t>Base completa: 40 observaciones y ningún valor faltante en los dos indicadores.</t>
  </si>
  <si>
    <t>Informalidad - Colombia (%)</t>
  </si>
  <si>
    <t>Informalidad - Chile (%)</t>
  </si>
  <si>
    <t>Derecho a pensión - Colombia (%)</t>
  </si>
  <si>
    <t>Derecho a pensión - Chile (%)</t>
  </si>
  <si>
    <t xml:space="preserve">El indicador de informalidad corresponde a personas ocupadas según la definición de LABLAC; el indicador de derecho a pensión se calcula solo entre trabajadores asalariados.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</si>
</sst>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%&quot;"/>
    <numFmt numFmtId="165" formatCode="0.0&quot;%&quot;"/>
    <numFmt numFmtId="166" formatCode="0.0"/>
    <numFmt numFmtId="167" formatCode="0.00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4"/>
      <color rgb="FFFFFFFF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23415A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5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5" fillId="0" borderId="0" xfId="0" applyFont="1"/>
    <xf numFmtId="167" fontId="0" fillId="0" borderId="0" xfId="0" applyNumberFormat="1"/>
    <xf numFmtId="1" fontId="0" fillId="0" borderId="0" xfId="0" applyNumberFormat="1"/>
    <xf numFmtId="0" fontId="7" fillId="0" borderId="0" xfId="0" applyFont="1"/>
    <xf numFmtId="0" fontId="6" fillId="5" borderId="0" xfId="0" applyFont="1" applyFill="1" applyAlignment="1">
      <alignment vertical="center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showGridLines="0" tabSelected="1" topLeftCell="D1" workbookViewId="0">
      <pane ySplit="4" topLeftCell="A41" activePane="bottomLeft" state="frozen"/>
      <selection pane="bottomLeft" activeCell="I45" sqref="I45"/>
    </sheetView>
  </sheetViews>
  <sheetFormatPr baseColWidth="10" defaultColWidth="8.7265625" defaultRowHeight="14.5" x14ac:dyDescent="0.35"/>
  <cols>
    <col min="1" max="1" width="34" customWidth="1"/>
    <col min="2" max="2" width="25" customWidth="1"/>
    <col min="3" max="3" width="22" customWidth="1"/>
    <col min="4" max="6" width="13" customWidth="1"/>
    <col min="7" max="8" width="34" customWidth="1"/>
    <col min="9" max="9" width="26" customWidth="1"/>
    <col min="10" max="10" width="34" customWidth="1"/>
  </cols>
  <sheetData>
    <row r="1" spans="1:10" ht="28" customHeight="1" x14ac:dyDescent="0.35">
      <c r="A1" s="18" t="s">
        <v>20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" customHeight="1" x14ac:dyDescent="0.35">
      <c r="A2" s="19" t="s">
        <v>21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34" customHeight="1" x14ac:dyDescent="0.35">
      <c r="A4" s="4" t="s">
        <v>2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12</v>
      </c>
      <c r="J4" s="4" t="s">
        <v>13</v>
      </c>
    </row>
    <row r="5" spans="1:10" x14ac:dyDescent="0.35">
      <c r="A5" s="2" t="s">
        <v>14</v>
      </c>
      <c r="B5" s="2" t="s">
        <v>29</v>
      </c>
      <c r="C5" s="2" t="s">
        <v>29</v>
      </c>
      <c r="D5" s="2">
        <v>2019</v>
      </c>
      <c r="E5" s="2" t="s">
        <v>30</v>
      </c>
      <c r="F5" s="2" t="s">
        <v>31</v>
      </c>
      <c r="G5" s="2" t="s">
        <v>32</v>
      </c>
      <c r="H5" s="2" t="s">
        <v>32</v>
      </c>
      <c r="I5" s="5">
        <v>28.110280399133838</v>
      </c>
      <c r="J5" s="5">
        <v>83.361094553925028</v>
      </c>
    </row>
    <row r="6" spans="1:10" x14ac:dyDescent="0.35">
      <c r="A6" s="2" t="s">
        <v>14</v>
      </c>
      <c r="B6" s="2" t="s">
        <v>29</v>
      </c>
      <c r="C6" s="2" t="s">
        <v>29</v>
      </c>
      <c r="D6" s="2">
        <v>2019</v>
      </c>
      <c r="E6" s="2" t="s">
        <v>33</v>
      </c>
      <c r="F6" s="2" t="s">
        <v>34</v>
      </c>
      <c r="G6" s="2" t="s">
        <v>35</v>
      </c>
      <c r="H6" s="2" t="s">
        <v>35</v>
      </c>
      <c r="I6" s="5">
        <v>28.73020531987282</v>
      </c>
      <c r="J6" s="5">
        <v>83.446961696344118</v>
      </c>
    </row>
    <row r="7" spans="1:10" x14ac:dyDescent="0.35">
      <c r="A7" s="2" t="s">
        <v>14</v>
      </c>
      <c r="B7" s="2" t="s">
        <v>29</v>
      </c>
      <c r="C7" s="2" t="s">
        <v>29</v>
      </c>
      <c r="D7" s="2">
        <v>2019</v>
      </c>
      <c r="E7" s="2" t="s">
        <v>36</v>
      </c>
      <c r="F7" s="2" t="s">
        <v>37</v>
      </c>
      <c r="G7" s="2" t="s">
        <v>38</v>
      </c>
      <c r="H7" s="2" t="s">
        <v>38</v>
      </c>
      <c r="I7" s="5">
        <v>28.56490988171192</v>
      </c>
      <c r="J7" s="5">
        <v>83.777246970589886</v>
      </c>
    </row>
    <row r="8" spans="1:10" x14ac:dyDescent="0.35">
      <c r="A8" s="2" t="s">
        <v>14</v>
      </c>
      <c r="B8" s="2" t="s">
        <v>29</v>
      </c>
      <c r="C8" s="2" t="s">
        <v>29</v>
      </c>
      <c r="D8" s="2">
        <v>2019</v>
      </c>
      <c r="E8" s="2" t="s">
        <v>39</v>
      </c>
      <c r="F8" s="2" t="s">
        <v>40</v>
      </c>
      <c r="G8" s="2" t="s">
        <v>41</v>
      </c>
      <c r="H8" s="2" t="s">
        <v>41</v>
      </c>
      <c r="I8" s="5">
        <v>28.340795992399929</v>
      </c>
      <c r="J8" s="5">
        <v>82.512419083948885</v>
      </c>
    </row>
    <row r="9" spans="1:10" x14ac:dyDescent="0.35">
      <c r="A9" s="2" t="s">
        <v>14</v>
      </c>
      <c r="B9" s="2" t="s">
        <v>29</v>
      </c>
      <c r="C9" s="2" t="s">
        <v>29</v>
      </c>
      <c r="D9" s="2">
        <v>2020</v>
      </c>
      <c r="E9" s="2" t="s">
        <v>30</v>
      </c>
      <c r="F9" s="2" t="s">
        <v>42</v>
      </c>
      <c r="G9" s="2" t="s">
        <v>43</v>
      </c>
      <c r="H9" s="2" t="s">
        <v>43</v>
      </c>
      <c r="I9" s="5">
        <v>30.1728799122235</v>
      </c>
      <c r="J9" s="5">
        <v>81.857279576836177</v>
      </c>
    </row>
    <row r="10" spans="1:10" x14ac:dyDescent="0.35">
      <c r="A10" s="2" t="s">
        <v>14</v>
      </c>
      <c r="B10" s="2" t="s">
        <v>29</v>
      </c>
      <c r="C10" s="2" t="s">
        <v>29</v>
      </c>
      <c r="D10" s="2">
        <v>2020</v>
      </c>
      <c r="E10" s="2" t="s">
        <v>33</v>
      </c>
      <c r="F10" s="2" t="s">
        <v>44</v>
      </c>
      <c r="G10" s="2" t="s">
        <v>45</v>
      </c>
      <c r="H10" s="2" t="s">
        <v>45</v>
      </c>
      <c r="I10" s="5">
        <v>24.805392066684782</v>
      </c>
      <c r="J10" s="5">
        <v>87.421348009359789</v>
      </c>
    </row>
    <row r="11" spans="1:10" x14ac:dyDescent="0.35">
      <c r="A11" s="2" t="s">
        <v>14</v>
      </c>
      <c r="B11" s="2" t="s">
        <v>29</v>
      </c>
      <c r="C11" s="2" t="s">
        <v>29</v>
      </c>
      <c r="D11" s="2">
        <v>2020</v>
      </c>
      <c r="E11" s="2" t="s">
        <v>36</v>
      </c>
      <c r="F11" s="2" t="s">
        <v>46</v>
      </c>
      <c r="G11" s="2" t="s">
        <v>47</v>
      </c>
      <c r="H11" s="2" t="s">
        <v>47</v>
      </c>
      <c r="I11" s="5">
        <v>25.364109685048572</v>
      </c>
      <c r="J11" s="5">
        <v>86.548538752434951</v>
      </c>
    </row>
    <row r="12" spans="1:10" x14ac:dyDescent="0.35">
      <c r="A12" s="2" t="s">
        <v>14</v>
      </c>
      <c r="B12" s="2" t="s">
        <v>29</v>
      </c>
      <c r="C12" s="2" t="s">
        <v>29</v>
      </c>
      <c r="D12" s="2">
        <v>2020</v>
      </c>
      <c r="E12" s="2" t="s">
        <v>39</v>
      </c>
      <c r="F12" s="2" t="s">
        <v>48</v>
      </c>
      <c r="G12" s="2" t="s">
        <v>49</v>
      </c>
      <c r="H12" s="2" t="s">
        <v>49</v>
      </c>
      <c r="I12" s="5">
        <v>27.661615139095051</v>
      </c>
      <c r="J12" s="5">
        <v>84.213500194780849</v>
      </c>
    </row>
    <row r="13" spans="1:10" x14ac:dyDescent="0.35">
      <c r="A13" s="2" t="s">
        <v>14</v>
      </c>
      <c r="B13" s="2" t="s">
        <v>29</v>
      </c>
      <c r="C13" s="2" t="s">
        <v>29</v>
      </c>
      <c r="D13" s="2">
        <v>2021</v>
      </c>
      <c r="E13" s="2" t="s">
        <v>30</v>
      </c>
      <c r="F13" s="2" t="s">
        <v>50</v>
      </c>
      <c r="G13" s="2" t="s">
        <v>51</v>
      </c>
      <c r="H13" s="2" t="s">
        <v>51</v>
      </c>
      <c r="I13" s="5">
        <v>27.81908630780967</v>
      </c>
      <c r="J13" s="5">
        <v>85.016378567023338</v>
      </c>
    </row>
    <row r="14" spans="1:10" x14ac:dyDescent="0.35">
      <c r="A14" s="2" t="s">
        <v>14</v>
      </c>
      <c r="B14" s="2" t="s">
        <v>29</v>
      </c>
      <c r="C14" s="2" t="s">
        <v>29</v>
      </c>
      <c r="D14" s="2">
        <v>2021</v>
      </c>
      <c r="E14" s="2" t="s">
        <v>33</v>
      </c>
      <c r="F14" s="2" t="s">
        <v>52</v>
      </c>
      <c r="G14" s="2" t="s">
        <v>53</v>
      </c>
      <c r="H14" s="2" t="s">
        <v>53</v>
      </c>
      <c r="I14" s="5">
        <v>27.711126431549989</v>
      </c>
      <c r="J14" s="5">
        <v>85.908149853886414</v>
      </c>
    </row>
    <row r="15" spans="1:10" x14ac:dyDescent="0.35">
      <c r="A15" s="2" t="s">
        <v>14</v>
      </c>
      <c r="B15" s="2" t="s">
        <v>29</v>
      </c>
      <c r="C15" s="2" t="s">
        <v>29</v>
      </c>
      <c r="D15" s="2">
        <v>2021</v>
      </c>
      <c r="E15" s="2" t="s">
        <v>36</v>
      </c>
      <c r="F15" s="2" t="s">
        <v>54</v>
      </c>
      <c r="G15" s="2" t="s">
        <v>55</v>
      </c>
      <c r="H15" s="2" t="s">
        <v>55</v>
      </c>
      <c r="I15" s="5">
        <v>29.195036351794741</v>
      </c>
      <c r="J15" s="5">
        <v>84.900267773754948</v>
      </c>
    </row>
    <row r="16" spans="1:10" x14ac:dyDescent="0.35">
      <c r="A16" s="2" t="s">
        <v>14</v>
      </c>
      <c r="B16" s="2" t="s">
        <v>29</v>
      </c>
      <c r="C16" s="2" t="s">
        <v>29</v>
      </c>
      <c r="D16" s="2">
        <v>2021</v>
      </c>
      <c r="E16" s="2" t="s">
        <v>39</v>
      </c>
      <c r="F16" s="2" t="s">
        <v>56</v>
      </c>
      <c r="G16" s="2" t="s">
        <v>57</v>
      </c>
      <c r="H16" s="2" t="s">
        <v>57</v>
      </c>
      <c r="I16" s="5">
        <v>29.089372596141121</v>
      </c>
      <c r="J16" s="5">
        <v>84.679651600438106</v>
      </c>
    </row>
    <row r="17" spans="1:10" x14ac:dyDescent="0.35">
      <c r="A17" s="2" t="s">
        <v>14</v>
      </c>
      <c r="B17" s="2" t="s">
        <v>29</v>
      </c>
      <c r="C17" s="2" t="s">
        <v>29</v>
      </c>
      <c r="D17" s="2">
        <v>2022</v>
      </c>
      <c r="E17" s="2" t="s">
        <v>30</v>
      </c>
      <c r="F17" s="2" t="s">
        <v>58</v>
      </c>
      <c r="G17" s="2" t="s">
        <v>59</v>
      </c>
      <c r="H17" s="2" t="s">
        <v>59</v>
      </c>
      <c r="I17" s="5">
        <v>28.39774682955693</v>
      </c>
      <c r="J17" s="5">
        <v>84.563705858172057</v>
      </c>
    </row>
    <row r="18" spans="1:10" x14ac:dyDescent="0.35">
      <c r="A18" s="2" t="s">
        <v>14</v>
      </c>
      <c r="B18" s="2" t="s">
        <v>29</v>
      </c>
      <c r="C18" s="2" t="s">
        <v>29</v>
      </c>
      <c r="D18" s="2">
        <v>2022</v>
      </c>
      <c r="E18" s="2" t="s">
        <v>33</v>
      </c>
      <c r="F18" s="2" t="s">
        <v>60</v>
      </c>
      <c r="G18" s="2" t="s">
        <v>61</v>
      </c>
      <c r="H18" s="2" t="s">
        <v>61</v>
      </c>
      <c r="I18" s="5">
        <v>28.383720337563801</v>
      </c>
      <c r="J18" s="5">
        <v>84.936170522375676</v>
      </c>
    </row>
    <row r="19" spans="1:10" x14ac:dyDescent="0.35">
      <c r="A19" s="2" t="s">
        <v>14</v>
      </c>
      <c r="B19" s="2" t="s">
        <v>29</v>
      </c>
      <c r="C19" s="2" t="s">
        <v>29</v>
      </c>
      <c r="D19" s="2">
        <v>2022</v>
      </c>
      <c r="E19" s="2" t="s">
        <v>36</v>
      </c>
      <c r="F19" s="2" t="s">
        <v>62</v>
      </c>
      <c r="G19" s="2" t="s">
        <v>63</v>
      </c>
      <c r="H19" s="2" t="s">
        <v>63</v>
      </c>
      <c r="I19" s="5">
        <v>28.42480496543789</v>
      </c>
      <c r="J19" s="5">
        <v>84.827039808435146</v>
      </c>
    </row>
    <row r="20" spans="1:10" x14ac:dyDescent="0.35">
      <c r="A20" s="2" t="s">
        <v>14</v>
      </c>
      <c r="B20" s="2" t="s">
        <v>29</v>
      </c>
      <c r="C20" s="2" t="s">
        <v>29</v>
      </c>
      <c r="D20" s="2">
        <v>2022</v>
      </c>
      <c r="E20" s="2" t="s">
        <v>39</v>
      </c>
      <c r="F20" s="2" t="s">
        <v>64</v>
      </c>
      <c r="G20" s="2" t="s">
        <v>65</v>
      </c>
      <c r="H20" s="2" t="s">
        <v>65</v>
      </c>
      <c r="I20" s="5">
        <v>27.876272593335909</v>
      </c>
      <c r="J20" s="5">
        <v>84.13267054864626</v>
      </c>
    </row>
    <row r="21" spans="1:10" x14ac:dyDescent="0.35">
      <c r="A21" s="2" t="s">
        <v>14</v>
      </c>
      <c r="B21" s="2" t="s">
        <v>29</v>
      </c>
      <c r="C21" s="2" t="s">
        <v>29</v>
      </c>
      <c r="D21" s="2">
        <v>2023</v>
      </c>
      <c r="E21" s="2" t="s">
        <v>30</v>
      </c>
      <c r="F21" s="2" t="s">
        <v>66</v>
      </c>
      <c r="G21" s="2" t="s">
        <v>67</v>
      </c>
      <c r="H21" s="2" t="s">
        <v>67</v>
      </c>
      <c r="I21" s="5">
        <v>27.39100252269488</v>
      </c>
      <c r="J21" s="5">
        <v>84.273538566502225</v>
      </c>
    </row>
    <row r="22" spans="1:10" x14ac:dyDescent="0.35">
      <c r="A22" s="2" t="s">
        <v>14</v>
      </c>
      <c r="B22" s="2" t="s">
        <v>29</v>
      </c>
      <c r="C22" s="2" t="s">
        <v>29</v>
      </c>
      <c r="D22" s="2">
        <v>2023</v>
      </c>
      <c r="E22" s="2" t="s">
        <v>33</v>
      </c>
      <c r="F22" s="2" t="s">
        <v>68</v>
      </c>
      <c r="G22" s="2" t="s">
        <v>69</v>
      </c>
      <c r="H22" s="2" t="s">
        <v>69</v>
      </c>
      <c r="I22" s="5">
        <v>27.86648465023449</v>
      </c>
      <c r="J22" s="5">
        <v>84.197933577856617</v>
      </c>
    </row>
    <row r="23" spans="1:10" x14ac:dyDescent="0.35">
      <c r="A23" s="2" t="s">
        <v>14</v>
      </c>
      <c r="B23" s="2" t="s">
        <v>29</v>
      </c>
      <c r="C23" s="2" t="s">
        <v>29</v>
      </c>
      <c r="D23" s="2">
        <v>2023</v>
      </c>
      <c r="E23" s="2" t="s">
        <v>36</v>
      </c>
      <c r="F23" s="2" t="s">
        <v>70</v>
      </c>
      <c r="G23" s="2" t="s">
        <v>71</v>
      </c>
      <c r="H23" s="2" t="s">
        <v>71</v>
      </c>
      <c r="I23" s="5">
        <v>28.364387476479489</v>
      </c>
      <c r="J23" s="5">
        <v>84.673057082725904</v>
      </c>
    </row>
    <row r="24" spans="1:10" x14ac:dyDescent="0.35">
      <c r="A24" s="2" t="s">
        <v>14</v>
      </c>
      <c r="B24" s="2" t="s">
        <v>29</v>
      </c>
      <c r="C24" s="2" t="s">
        <v>29</v>
      </c>
      <c r="D24" s="2">
        <v>2023</v>
      </c>
      <c r="E24" s="2" t="s">
        <v>39</v>
      </c>
      <c r="F24" s="2" t="s">
        <v>72</v>
      </c>
      <c r="G24" s="2" t="s">
        <v>73</v>
      </c>
      <c r="H24" s="2" t="s">
        <v>73</v>
      </c>
      <c r="I24" s="5">
        <v>28.403560526336079</v>
      </c>
      <c r="J24" s="5">
        <v>84.099857660554378</v>
      </c>
    </row>
    <row r="25" spans="1:10" x14ac:dyDescent="0.35">
      <c r="A25" s="2" t="s">
        <v>11</v>
      </c>
      <c r="B25" s="2" t="s">
        <v>74</v>
      </c>
      <c r="C25" s="2" t="s">
        <v>74</v>
      </c>
      <c r="D25" s="2">
        <v>2019</v>
      </c>
      <c r="E25" s="2" t="s">
        <v>30</v>
      </c>
      <c r="F25" s="2" t="s">
        <v>31</v>
      </c>
      <c r="G25" s="2" t="s">
        <v>32</v>
      </c>
      <c r="H25" s="2" t="s">
        <v>32</v>
      </c>
      <c r="I25" s="5">
        <v>58.21544796318976</v>
      </c>
      <c r="J25" s="5">
        <v>64.40019766391751</v>
      </c>
    </row>
    <row r="26" spans="1:10" x14ac:dyDescent="0.35">
      <c r="A26" s="2" t="s">
        <v>11</v>
      </c>
      <c r="B26" s="2" t="s">
        <v>74</v>
      </c>
      <c r="C26" s="2" t="s">
        <v>74</v>
      </c>
      <c r="D26" s="2">
        <v>2019</v>
      </c>
      <c r="E26" s="2" t="s">
        <v>33</v>
      </c>
      <c r="F26" s="2" t="s">
        <v>34</v>
      </c>
      <c r="G26" s="2" t="s">
        <v>35</v>
      </c>
      <c r="H26" s="2" t="s">
        <v>35</v>
      </c>
      <c r="I26" s="5">
        <v>57.417567115713631</v>
      </c>
      <c r="J26" s="5">
        <v>65.136304072947397</v>
      </c>
    </row>
    <row r="27" spans="1:10" x14ac:dyDescent="0.35">
      <c r="A27" s="2" t="s">
        <v>11</v>
      </c>
      <c r="B27" s="2" t="s">
        <v>74</v>
      </c>
      <c r="C27" s="2" t="s">
        <v>74</v>
      </c>
      <c r="D27" s="2">
        <v>2019</v>
      </c>
      <c r="E27" s="2" t="s">
        <v>36</v>
      </c>
      <c r="F27" s="2" t="s">
        <v>37</v>
      </c>
      <c r="G27" s="2" t="s">
        <v>38</v>
      </c>
      <c r="H27" s="2" t="s">
        <v>38</v>
      </c>
      <c r="I27" s="5">
        <v>57.134147593809487</v>
      </c>
      <c r="J27" s="5">
        <v>64.21700243089839</v>
      </c>
    </row>
    <row r="28" spans="1:10" x14ac:dyDescent="0.35">
      <c r="A28" s="2" t="s">
        <v>11</v>
      </c>
      <c r="B28" s="2" t="s">
        <v>74</v>
      </c>
      <c r="C28" s="2" t="s">
        <v>74</v>
      </c>
      <c r="D28" s="2">
        <v>2019</v>
      </c>
      <c r="E28" s="2" t="s">
        <v>39</v>
      </c>
      <c r="F28" s="2" t="s">
        <v>40</v>
      </c>
      <c r="G28" s="2" t="s">
        <v>41</v>
      </c>
      <c r="H28" s="2" t="s">
        <v>41</v>
      </c>
      <c r="I28" s="5">
        <v>58.667507821979939</v>
      </c>
      <c r="J28" s="5">
        <v>62.411098336738313</v>
      </c>
    </row>
    <row r="29" spans="1:10" x14ac:dyDescent="0.35">
      <c r="A29" s="2" t="s">
        <v>11</v>
      </c>
      <c r="B29" s="2" t="s">
        <v>74</v>
      </c>
      <c r="C29" s="2" t="s">
        <v>74</v>
      </c>
      <c r="D29" s="2">
        <v>2020</v>
      </c>
      <c r="E29" s="2" t="s">
        <v>30</v>
      </c>
      <c r="F29" s="2" t="s">
        <v>42</v>
      </c>
      <c r="G29" s="2" t="s">
        <v>43</v>
      </c>
      <c r="H29" s="2" t="s">
        <v>43</v>
      </c>
      <c r="I29" s="5">
        <v>58.648189518191472</v>
      </c>
      <c r="J29" s="5">
        <v>63.527880938480827</v>
      </c>
    </row>
    <row r="30" spans="1:10" x14ac:dyDescent="0.35">
      <c r="A30" s="2" t="s">
        <v>11</v>
      </c>
      <c r="B30" s="2" t="s">
        <v>74</v>
      </c>
      <c r="C30" s="2" t="s">
        <v>74</v>
      </c>
      <c r="D30" s="2">
        <v>2020</v>
      </c>
      <c r="E30" s="2" t="s">
        <v>33</v>
      </c>
      <c r="F30" s="2" t="s">
        <v>44</v>
      </c>
      <c r="G30" s="2" t="s">
        <v>45</v>
      </c>
      <c r="H30" s="2" t="s">
        <v>45</v>
      </c>
      <c r="I30" s="5">
        <v>58.278571425310211</v>
      </c>
      <c r="J30" s="5">
        <v>71.463479780667711</v>
      </c>
    </row>
    <row r="31" spans="1:10" x14ac:dyDescent="0.35">
      <c r="A31" s="2" t="s">
        <v>11</v>
      </c>
      <c r="B31" s="2" t="s">
        <v>74</v>
      </c>
      <c r="C31" s="2" t="s">
        <v>74</v>
      </c>
      <c r="D31" s="2">
        <v>2020</v>
      </c>
      <c r="E31" s="2" t="s">
        <v>36</v>
      </c>
      <c r="F31" s="2" t="s">
        <v>46</v>
      </c>
      <c r="G31" s="2" t="s">
        <v>47</v>
      </c>
      <c r="H31" s="2" t="s">
        <v>47</v>
      </c>
      <c r="I31" s="5">
        <v>57.81818018175764</v>
      </c>
      <c r="J31" s="5">
        <v>68.318453642309635</v>
      </c>
    </row>
    <row r="32" spans="1:10" x14ac:dyDescent="0.35">
      <c r="A32" s="2" t="s">
        <v>11</v>
      </c>
      <c r="B32" s="2" t="s">
        <v>74</v>
      </c>
      <c r="C32" s="2" t="s">
        <v>74</v>
      </c>
      <c r="D32" s="2">
        <v>2020</v>
      </c>
      <c r="E32" s="2" t="s">
        <v>39</v>
      </c>
      <c r="F32" s="2" t="s">
        <v>48</v>
      </c>
      <c r="G32" s="2" t="s">
        <v>49</v>
      </c>
      <c r="H32" s="2" t="s">
        <v>49</v>
      </c>
      <c r="I32" s="5">
        <v>58.810254396720772</v>
      </c>
      <c r="J32" s="5">
        <v>64.94188433719718</v>
      </c>
    </row>
    <row r="33" spans="1:10" x14ac:dyDescent="0.35">
      <c r="A33" s="2" t="s">
        <v>11</v>
      </c>
      <c r="B33" s="2" t="s">
        <v>74</v>
      </c>
      <c r="C33" s="2" t="s">
        <v>74</v>
      </c>
      <c r="D33" s="2">
        <v>2021</v>
      </c>
      <c r="E33" s="2" t="s">
        <v>30</v>
      </c>
      <c r="F33" s="2" t="s">
        <v>50</v>
      </c>
      <c r="G33" s="2" t="s">
        <v>51</v>
      </c>
      <c r="H33" s="2" t="s">
        <v>51</v>
      </c>
      <c r="I33" s="5">
        <v>56.127840514303983</v>
      </c>
      <c r="J33" s="5">
        <v>65.121309980015269</v>
      </c>
    </row>
    <row r="34" spans="1:10" x14ac:dyDescent="0.35">
      <c r="A34" s="2" t="s">
        <v>11</v>
      </c>
      <c r="B34" s="2" t="s">
        <v>74</v>
      </c>
      <c r="C34" s="2" t="s">
        <v>74</v>
      </c>
      <c r="D34" s="2">
        <v>2021</v>
      </c>
      <c r="E34" s="2" t="s">
        <v>33</v>
      </c>
      <c r="F34" s="2" t="s">
        <v>52</v>
      </c>
      <c r="G34" s="2" t="s">
        <v>53</v>
      </c>
      <c r="H34" s="2" t="s">
        <v>53</v>
      </c>
      <c r="I34" s="5">
        <v>54.621134728788121</v>
      </c>
      <c r="J34" s="5">
        <v>66.600938585384554</v>
      </c>
    </row>
    <row r="35" spans="1:10" x14ac:dyDescent="0.35">
      <c r="A35" s="2" t="s">
        <v>11</v>
      </c>
      <c r="B35" s="2" t="s">
        <v>74</v>
      </c>
      <c r="C35" s="2" t="s">
        <v>74</v>
      </c>
      <c r="D35" s="2">
        <v>2021</v>
      </c>
      <c r="E35" s="2" t="s">
        <v>36</v>
      </c>
      <c r="F35" s="2" t="s">
        <v>54</v>
      </c>
      <c r="G35" s="2" t="s">
        <v>55</v>
      </c>
      <c r="H35" s="2" t="s">
        <v>55</v>
      </c>
      <c r="I35" s="5">
        <v>54.957211836888739</v>
      </c>
      <c r="J35" s="5">
        <v>65.568058137815527</v>
      </c>
    </row>
    <row r="36" spans="1:10" x14ac:dyDescent="0.35">
      <c r="A36" s="2" t="s">
        <v>11</v>
      </c>
      <c r="B36" s="2" t="s">
        <v>74</v>
      </c>
      <c r="C36" s="2" t="s">
        <v>74</v>
      </c>
      <c r="D36" s="2">
        <v>2021</v>
      </c>
      <c r="E36" s="2" t="s">
        <v>39</v>
      </c>
      <c r="F36" s="2" t="s">
        <v>56</v>
      </c>
      <c r="G36" s="2" t="s">
        <v>57</v>
      </c>
      <c r="H36" s="2" t="s">
        <v>57</v>
      </c>
      <c r="I36" s="5">
        <v>56.568067856246529</v>
      </c>
      <c r="J36" s="5">
        <v>63.755526394748173</v>
      </c>
    </row>
    <row r="37" spans="1:10" x14ac:dyDescent="0.35">
      <c r="A37" s="2" t="s">
        <v>11</v>
      </c>
      <c r="B37" s="2" t="s">
        <v>74</v>
      </c>
      <c r="C37" s="2" t="s">
        <v>74</v>
      </c>
      <c r="D37" s="2">
        <v>2022</v>
      </c>
      <c r="E37" s="2" t="s">
        <v>30</v>
      </c>
      <c r="F37" s="2" t="s">
        <v>58</v>
      </c>
      <c r="G37" s="2" t="s">
        <v>59</v>
      </c>
      <c r="H37" s="2" t="s">
        <v>59</v>
      </c>
      <c r="I37" s="5">
        <v>51.959348634405409</v>
      </c>
      <c r="J37" s="5">
        <v>68.009414717433486</v>
      </c>
    </row>
    <row r="38" spans="1:10" x14ac:dyDescent="0.35">
      <c r="A38" s="2" t="s">
        <v>11</v>
      </c>
      <c r="B38" s="2" t="s">
        <v>74</v>
      </c>
      <c r="C38" s="2" t="s">
        <v>74</v>
      </c>
      <c r="D38" s="2">
        <v>2022</v>
      </c>
      <c r="E38" s="2" t="s">
        <v>33</v>
      </c>
      <c r="F38" s="2" t="s">
        <v>60</v>
      </c>
      <c r="G38" s="2" t="s">
        <v>61</v>
      </c>
      <c r="H38" s="2" t="s">
        <v>61</v>
      </c>
      <c r="I38" s="5">
        <v>51.521793203192082</v>
      </c>
      <c r="J38" s="5">
        <v>67.521348752467404</v>
      </c>
    </row>
    <row r="39" spans="1:10" x14ac:dyDescent="0.35">
      <c r="A39" s="2" t="s">
        <v>11</v>
      </c>
      <c r="B39" s="2" t="s">
        <v>74</v>
      </c>
      <c r="C39" s="2" t="s">
        <v>74</v>
      </c>
      <c r="D39" s="2">
        <v>2022</v>
      </c>
      <c r="E39" s="2" t="s">
        <v>36</v>
      </c>
      <c r="F39" s="2" t="s">
        <v>62</v>
      </c>
      <c r="G39" s="2" t="s">
        <v>63</v>
      </c>
      <c r="H39" s="2" t="s">
        <v>63</v>
      </c>
      <c r="I39" s="5">
        <v>51.835517635771907</v>
      </c>
      <c r="J39" s="5">
        <v>66.360664933873124</v>
      </c>
    </row>
    <row r="40" spans="1:10" x14ac:dyDescent="0.35">
      <c r="A40" s="2" t="s">
        <v>11</v>
      </c>
      <c r="B40" s="2" t="s">
        <v>74</v>
      </c>
      <c r="C40" s="2" t="s">
        <v>74</v>
      </c>
      <c r="D40" s="2">
        <v>2022</v>
      </c>
      <c r="E40" s="2" t="s">
        <v>39</v>
      </c>
      <c r="F40" s="2" t="s">
        <v>64</v>
      </c>
      <c r="G40" s="2" t="s">
        <v>65</v>
      </c>
      <c r="H40" s="2" t="s">
        <v>65</v>
      </c>
      <c r="I40" s="5">
        <v>51.645288657794232</v>
      </c>
      <c r="J40" s="5">
        <v>66.546699688085852</v>
      </c>
    </row>
    <row r="41" spans="1:10" x14ac:dyDescent="0.35">
      <c r="A41" s="2" t="s">
        <v>11</v>
      </c>
      <c r="B41" s="2" t="s">
        <v>74</v>
      </c>
      <c r="C41" s="2" t="s">
        <v>74</v>
      </c>
      <c r="D41" s="2">
        <v>2023</v>
      </c>
      <c r="E41" s="2" t="s">
        <v>30</v>
      </c>
      <c r="F41" s="2" t="s">
        <v>66</v>
      </c>
      <c r="G41" s="2" t="s">
        <v>67</v>
      </c>
      <c r="H41" s="2" t="s">
        <v>67</v>
      </c>
      <c r="I41" s="5">
        <v>52.529561491944648</v>
      </c>
      <c r="J41" s="5">
        <v>66.531227592165848</v>
      </c>
    </row>
    <row r="42" spans="1:10" x14ac:dyDescent="0.35">
      <c r="A42" s="2" t="s">
        <v>11</v>
      </c>
      <c r="B42" s="2" t="s">
        <v>74</v>
      </c>
      <c r="C42" s="2" t="s">
        <v>74</v>
      </c>
      <c r="D42" s="2">
        <v>2023</v>
      </c>
      <c r="E42" s="2" t="s">
        <v>33</v>
      </c>
      <c r="F42" s="2" t="s">
        <v>68</v>
      </c>
      <c r="G42" s="2" t="s">
        <v>69</v>
      </c>
      <c r="H42" s="2" t="s">
        <v>69</v>
      </c>
      <c r="I42" s="5">
        <v>50.8087808365296</v>
      </c>
      <c r="J42" s="5">
        <v>68.959447192414288</v>
      </c>
    </row>
    <row r="43" spans="1:10" x14ac:dyDescent="0.35">
      <c r="A43" s="2" t="s">
        <v>11</v>
      </c>
      <c r="B43" s="2" t="s">
        <v>74</v>
      </c>
      <c r="C43" s="2" t="s">
        <v>74</v>
      </c>
      <c r="D43" s="2">
        <v>2023</v>
      </c>
      <c r="E43" s="2" t="s">
        <v>36</v>
      </c>
      <c r="F43" s="2" t="s">
        <v>70</v>
      </c>
      <c r="G43" s="2" t="s">
        <v>71</v>
      </c>
      <c r="H43" s="2" t="s">
        <v>71</v>
      </c>
      <c r="I43" s="5">
        <v>50.666993083861321</v>
      </c>
      <c r="J43" s="5">
        <v>68.150633613053117</v>
      </c>
    </row>
    <row r="44" spans="1:10" x14ac:dyDescent="0.35">
      <c r="A44" s="2" t="s">
        <v>11</v>
      </c>
      <c r="B44" s="2" t="s">
        <v>74</v>
      </c>
      <c r="C44" s="2" t="s">
        <v>74</v>
      </c>
      <c r="D44" s="2">
        <v>2023</v>
      </c>
      <c r="E44" s="2" t="s">
        <v>39</v>
      </c>
      <c r="F44" s="2" t="s">
        <v>72</v>
      </c>
      <c r="G44" s="2" t="s">
        <v>73</v>
      </c>
      <c r="H44" s="2" t="s">
        <v>73</v>
      </c>
      <c r="I44" s="5">
        <v>51.100532404341401</v>
      </c>
      <c r="J44" s="5">
        <v>68.745996928934431</v>
      </c>
    </row>
  </sheetData>
  <autoFilter ref="A4:J44" xr:uid="{00000000-0009-0000-0000-000000000000}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pane ySplit="4" topLeftCell="A5" activePane="bottomLeft" state="frozen"/>
      <selection sqref="A1:D1"/>
      <selection pane="bottomLeft" activeCell="J5" sqref="J5"/>
    </sheetView>
  </sheetViews>
  <sheetFormatPr baseColWidth="10" defaultColWidth="8.7265625" defaultRowHeight="14.5" x14ac:dyDescent="0.35"/>
  <cols>
    <col min="1" max="1" width="16" customWidth="1"/>
    <col min="2" max="2" width="38" customWidth="1"/>
    <col min="3" max="3" width="18" customWidth="1"/>
    <col min="4" max="4" width="24" customWidth="1"/>
    <col min="5" max="5" width="19" customWidth="1"/>
    <col min="6" max="6" width="18" customWidth="1"/>
    <col min="7" max="7" width="31" customWidth="1"/>
    <col min="8" max="8" width="22" customWidth="1"/>
    <col min="9" max="9" width="18" customWidth="1"/>
    <col min="10" max="10" width="20" customWidth="1"/>
  </cols>
  <sheetData>
    <row r="1" spans="1:10" ht="28" customHeight="1" x14ac:dyDescent="0.35">
      <c r="A1" s="14" t="s">
        <v>0</v>
      </c>
      <c r="B1" s="15"/>
      <c r="C1" s="15"/>
      <c r="D1" s="15"/>
      <c r="E1" s="15"/>
      <c r="F1" s="15"/>
      <c r="G1" s="15"/>
    </row>
    <row r="2" spans="1:10" ht="34" customHeight="1" x14ac:dyDescent="0.35">
      <c r="A2" s="15" t="s">
        <v>1</v>
      </c>
      <c r="B2" s="15"/>
      <c r="C2" s="15"/>
      <c r="D2" s="15"/>
      <c r="E2" s="15"/>
      <c r="F2" s="15"/>
      <c r="G2" s="15"/>
    </row>
    <row r="4" spans="1:10" ht="42" customHeight="1" x14ac:dyDescent="0.3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4</v>
      </c>
      <c r="J4" s="7" t="s">
        <v>10</v>
      </c>
    </row>
    <row r="5" spans="1:10" x14ac:dyDescent="0.35">
      <c r="A5" s="8" t="s">
        <v>11</v>
      </c>
      <c r="B5" s="8" t="s">
        <v>12</v>
      </c>
      <c r="C5" s="8">
        <v>20</v>
      </c>
      <c r="D5" s="9">
        <f>SUMIF('Base unificada'!$A$5:$A$44,$A5,'Base unificada'!$I$5:$I$44)/COUNTIF('Base unificada'!$A$5:$A$44,$A5)</f>
        <v>54.966596845037046</v>
      </c>
      <c r="E5" s="9">
        <v>58.21544796318976</v>
      </c>
      <c r="F5" s="9">
        <v>51.100532404341372</v>
      </c>
      <c r="G5" s="9">
        <v>-7.1149155588483879</v>
      </c>
      <c r="H5" s="11">
        <f>SUMIF('Base unificada'!$A$5:$A$44,$A5,'Base unificada'!$I$5:$I$44)</f>
        <v>1099.3319369007409</v>
      </c>
      <c r="I5" s="12">
        <f>COUNTIF('Base unificada'!$A$5:$A$44,$A5)</f>
        <v>20</v>
      </c>
      <c r="J5" s="11">
        <f>H5/I5</f>
        <v>54.966596845037046</v>
      </c>
    </row>
    <row r="6" spans="1:10" x14ac:dyDescent="0.35">
      <c r="A6" s="8" t="s">
        <v>11</v>
      </c>
      <c r="B6" s="8" t="s">
        <v>13</v>
      </c>
      <c r="C6" s="8">
        <v>20</v>
      </c>
      <c r="D6" s="9">
        <f>SUMIF('Base unificada'!$A$5:$A$44,$A6,'Base unificada'!$J$5:$J$44)/COUNTIF('Base unificada'!$A$5:$A$44,$A6)</f>
        <v>66.314378385977392</v>
      </c>
      <c r="E6" s="9">
        <v>64.40019766391751</v>
      </c>
      <c r="F6" s="9">
        <v>68.745996928934431</v>
      </c>
      <c r="G6" s="9">
        <v>4.3457992650169217</v>
      </c>
      <c r="H6" s="11">
        <f>SUMIF('Base unificada'!$A$5:$A$44,$A6,'Base unificada'!$J$5:$J$44)</f>
        <v>1326.287567719548</v>
      </c>
      <c r="I6" s="12">
        <f>COUNTIF('Base unificada'!$A$5:$A$44,$A6)</f>
        <v>20</v>
      </c>
      <c r="J6" s="11">
        <f>H6/I6</f>
        <v>66.314378385977392</v>
      </c>
    </row>
    <row r="7" spans="1:10" x14ac:dyDescent="0.35">
      <c r="A7" s="8" t="s">
        <v>14</v>
      </c>
      <c r="B7" s="8" t="s">
        <v>12</v>
      </c>
      <c r="C7" s="8">
        <v>20</v>
      </c>
      <c r="D7" s="9">
        <f>SUMIF('Base unificada'!$A$5:$A$44,$A7,'Base unificada'!$I$5:$I$44)/COUNTIF('Base unificada'!$A$5:$A$44,$A7)</f>
        <v>28.033639499255269</v>
      </c>
      <c r="E7" s="9">
        <v>28.110280399133838</v>
      </c>
      <c r="F7" s="9">
        <v>28.403560526336079</v>
      </c>
      <c r="G7" s="9">
        <v>0.29328012720224089</v>
      </c>
      <c r="H7" s="11">
        <f>SUMIF('Base unificada'!$A$5:$A$44,$A7,'Base unificada'!$I$5:$I$44)</f>
        <v>560.6727899851054</v>
      </c>
      <c r="I7" s="12">
        <f>COUNTIF('Base unificada'!$A$5:$A$44,$A7)</f>
        <v>20</v>
      </c>
      <c r="J7" s="11">
        <f>H7/I7</f>
        <v>28.033639499255269</v>
      </c>
    </row>
    <row r="8" spans="1:10" x14ac:dyDescent="0.35">
      <c r="A8" s="8" t="s">
        <v>14</v>
      </c>
      <c r="B8" s="8" t="s">
        <v>13</v>
      </c>
      <c r="C8" s="8">
        <v>20</v>
      </c>
      <c r="D8" s="9">
        <f>SUMIF('Base unificada'!$A$5:$A$44,$A8,'Base unificada'!$J$5:$J$44)/COUNTIF('Base unificada'!$A$5:$A$44,$A8)</f>
        <v>84.467340512929553</v>
      </c>
      <c r="E8" s="9">
        <v>83.361094553925028</v>
      </c>
      <c r="F8" s="9">
        <v>84.099857660554378</v>
      </c>
      <c r="G8" s="9">
        <v>0.73876310662934941</v>
      </c>
      <c r="H8" s="11">
        <f>SUMIF('Base unificada'!$A$5:$A$44,$A8,'Base unificada'!$J$5:$J$44)</f>
        <v>1689.3468102585912</v>
      </c>
      <c r="I8" s="12">
        <f>COUNTIF('Base unificada'!$A$5:$A$44,$A8)</f>
        <v>20</v>
      </c>
      <c r="J8" s="11">
        <f>H8/I8</f>
        <v>84.467340512929553</v>
      </c>
    </row>
    <row r="9" spans="1:10" x14ac:dyDescent="0.35">
      <c r="A9" s="10" t="s">
        <v>15</v>
      </c>
      <c r="B9" s="17" t="s">
        <v>16</v>
      </c>
      <c r="C9" s="15"/>
      <c r="D9" s="15"/>
      <c r="E9" s="15"/>
      <c r="F9" s="15"/>
      <c r="G9" s="15"/>
    </row>
    <row r="11" spans="1:10" x14ac:dyDescent="0.35">
      <c r="A11" s="10" t="s">
        <v>17</v>
      </c>
    </row>
    <row r="12" spans="1:10" ht="32" customHeight="1" x14ac:dyDescent="0.35">
      <c r="A12" s="16" t="s">
        <v>110</v>
      </c>
      <c r="B12" s="15"/>
      <c r="C12" s="15"/>
      <c r="D12" s="15"/>
      <c r="E12" s="15"/>
      <c r="F12" s="15"/>
      <c r="G12" s="15"/>
    </row>
    <row r="13" spans="1:10" x14ac:dyDescent="0.35">
      <c r="A13" s="15"/>
      <c r="B13" s="15"/>
      <c r="C13" s="15"/>
      <c r="D13" s="15"/>
      <c r="E13" s="15"/>
      <c r="F13" s="15"/>
      <c r="G13" s="15"/>
    </row>
    <row r="14" spans="1:10" ht="15.5" x14ac:dyDescent="0.35">
      <c r="A14" s="13" t="s">
        <v>18</v>
      </c>
    </row>
    <row r="15" spans="1:10" ht="32" customHeight="1" x14ac:dyDescent="0.35">
      <c r="A15" s="16" t="s">
        <v>19</v>
      </c>
      <c r="B15" s="15"/>
      <c r="C15" s="15"/>
      <c r="D15" s="15"/>
      <c r="E15" s="15"/>
      <c r="F15" s="15"/>
      <c r="G15" s="15"/>
    </row>
    <row r="16" spans="1:10" x14ac:dyDescent="0.35">
      <c r="A16" s="17">
        <f>SUMIF('Base unificada'!$A$5:$A$44,"Chile",'Base unificada'!$J$5:$J$44)/COUNTIF('Base unificada'!$A$5:$A$44,"Chile")</f>
        <v>84.467340512929553</v>
      </c>
      <c r="B16" s="15"/>
      <c r="C16" s="15"/>
      <c r="D16" s="15"/>
      <c r="E16" s="15"/>
      <c r="F16" s="15"/>
      <c r="G16" s="15"/>
    </row>
  </sheetData>
  <autoFilter ref="A4:G8" xr:uid="{00000000-0009-0000-0000-000001000000}"/>
  <mergeCells count="6">
    <mergeCell ref="A16:G16"/>
    <mergeCell ref="A1:G1"/>
    <mergeCell ref="B9:G9"/>
    <mergeCell ref="A12:G13"/>
    <mergeCell ref="A15:G15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workbookViewId="0">
      <pane ySplit="3" topLeftCell="A4" activePane="bottomLeft" state="frozen"/>
      <selection sqref="A1:D1"/>
      <selection pane="bottomLeft" activeCell="C10" sqref="C10"/>
    </sheetView>
  </sheetViews>
  <sheetFormatPr baseColWidth="10" defaultColWidth="8.7265625" defaultRowHeight="14.5" x14ac:dyDescent="0.35"/>
  <cols>
    <col min="1" max="3" width="32" customWidth="1"/>
  </cols>
  <sheetData>
    <row r="1" spans="1:3" x14ac:dyDescent="0.35">
      <c r="A1" s="20" t="s">
        <v>75</v>
      </c>
      <c r="B1" s="15"/>
      <c r="C1" s="15"/>
    </row>
    <row r="2" spans="1:3" x14ac:dyDescent="0.35">
      <c r="A2" s="2"/>
      <c r="B2" s="2"/>
      <c r="C2" s="2"/>
    </row>
    <row r="3" spans="1:3" x14ac:dyDescent="0.35">
      <c r="A3" s="1" t="s">
        <v>76</v>
      </c>
      <c r="B3" s="1" t="s">
        <v>77</v>
      </c>
      <c r="C3" s="1" t="s">
        <v>15</v>
      </c>
    </row>
    <row r="4" spans="1:3" ht="48" customHeight="1" x14ac:dyDescent="0.35">
      <c r="A4" s="2" t="s">
        <v>2</v>
      </c>
      <c r="B4" s="2" t="s">
        <v>78</v>
      </c>
      <c r="C4" s="2" t="s">
        <v>79</v>
      </c>
    </row>
    <row r="5" spans="1:3" ht="48" customHeight="1" x14ac:dyDescent="0.35">
      <c r="A5" s="2" t="s">
        <v>22</v>
      </c>
      <c r="B5" s="2" t="s">
        <v>80</v>
      </c>
      <c r="C5" s="2" t="s">
        <v>81</v>
      </c>
    </row>
    <row r="6" spans="1:3" ht="48" customHeight="1" x14ac:dyDescent="0.35">
      <c r="A6" s="2" t="s">
        <v>23</v>
      </c>
      <c r="B6" s="2" t="s">
        <v>82</v>
      </c>
      <c r="C6" s="2" t="s">
        <v>81</v>
      </c>
    </row>
    <row r="7" spans="1:3" ht="48" customHeight="1" x14ac:dyDescent="0.35">
      <c r="A7" s="2" t="s">
        <v>83</v>
      </c>
      <c r="B7" s="2" t="s">
        <v>84</v>
      </c>
      <c r="C7" s="2" t="s">
        <v>79</v>
      </c>
    </row>
    <row r="8" spans="1:3" ht="48" customHeight="1" x14ac:dyDescent="0.35">
      <c r="A8" s="2" t="s">
        <v>12</v>
      </c>
      <c r="B8" s="2" t="s">
        <v>85</v>
      </c>
      <c r="C8" s="2" t="s">
        <v>86</v>
      </c>
    </row>
    <row r="9" spans="1:3" ht="48" customHeight="1" x14ac:dyDescent="0.35">
      <c r="A9" s="2" t="s">
        <v>13</v>
      </c>
      <c r="B9" s="2" t="s">
        <v>87</v>
      </c>
      <c r="C9" s="2" t="s">
        <v>88</v>
      </c>
    </row>
    <row r="10" spans="1:3" ht="48" customHeight="1" x14ac:dyDescent="0.35">
      <c r="A10" s="2" t="s">
        <v>89</v>
      </c>
      <c r="B10" s="2" t="s">
        <v>90</v>
      </c>
      <c r="C10" s="2" t="s">
        <v>91</v>
      </c>
    </row>
    <row r="11" spans="1:3" ht="48" customHeight="1" x14ac:dyDescent="0.35">
      <c r="A11" s="2" t="s">
        <v>92</v>
      </c>
      <c r="B11" s="2" t="s">
        <v>93</v>
      </c>
      <c r="C11" s="2" t="s">
        <v>94</v>
      </c>
    </row>
    <row r="12" spans="1:3" ht="48" customHeight="1" x14ac:dyDescent="0.35">
      <c r="A12" s="2" t="s">
        <v>95</v>
      </c>
      <c r="B12" s="2" t="s">
        <v>96</v>
      </c>
      <c r="C12" s="2" t="s">
        <v>79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>
      <selection activeCell="C25" sqref="C25"/>
    </sheetView>
  </sheetViews>
  <sheetFormatPr baseColWidth="10" defaultColWidth="8.7265625" defaultRowHeight="14.5" x14ac:dyDescent="0.35"/>
  <cols>
    <col min="1" max="4" width="32" customWidth="1"/>
  </cols>
  <sheetData>
    <row r="1" spans="1:4" x14ac:dyDescent="0.35">
      <c r="A1" s="20" t="s">
        <v>97</v>
      </c>
      <c r="B1" s="15"/>
      <c r="C1" s="15"/>
      <c r="D1" s="15"/>
    </row>
    <row r="2" spans="1:4" x14ac:dyDescent="0.35">
      <c r="A2" s="2"/>
      <c r="B2" s="2"/>
      <c r="C2" s="2"/>
      <c r="D2" s="2"/>
    </row>
    <row r="3" spans="1:4" x14ac:dyDescent="0.35">
      <c r="A3" s="1" t="s">
        <v>2</v>
      </c>
      <c r="B3" s="1" t="s">
        <v>98</v>
      </c>
      <c r="C3" s="1" t="s">
        <v>99</v>
      </c>
      <c r="D3" s="1" t="s">
        <v>100</v>
      </c>
    </row>
    <row r="4" spans="1:4" x14ac:dyDescent="0.35">
      <c r="A4" s="2" t="s">
        <v>14</v>
      </c>
      <c r="B4" s="2">
        <v>20</v>
      </c>
      <c r="C4" s="2">
        <v>0</v>
      </c>
      <c r="D4" s="2">
        <v>0</v>
      </c>
    </row>
    <row r="5" spans="1:4" x14ac:dyDescent="0.35">
      <c r="A5" s="2" t="s">
        <v>11</v>
      </c>
      <c r="B5" s="2">
        <v>20</v>
      </c>
      <c r="C5" s="2">
        <v>0</v>
      </c>
      <c r="D5" s="2">
        <v>0</v>
      </c>
    </row>
    <row r="6" spans="1:4" x14ac:dyDescent="0.35">
      <c r="A6" s="3" t="s">
        <v>101</v>
      </c>
      <c r="B6" s="3">
        <v>40</v>
      </c>
      <c r="C6" s="3">
        <v>0</v>
      </c>
      <c r="D6" s="3">
        <v>0</v>
      </c>
    </row>
    <row r="7" spans="1:4" x14ac:dyDescent="0.35">
      <c r="A7" s="2"/>
      <c r="B7" s="2"/>
      <c r="C7" s="2"/>
      <c r="D7" s="2"/>
    </row>
    <row r="8" spans="1:4" x14ac:dyDescent="0.35">
      <c r="A8" s="2" t="s">
        <v>102</v>
      </c>
      <c r="B8" s="16" t="s">
        <v>103</v>
      </c>
      <c r="C8" s="15"/>
      <c r="D8" s="15"/>
    </row>
    <row r="9" spans="1:4" x14ac:dyDescent="0.35">
      <c r="A9" s="2" t="s">
        <v>104</v>
      </c>
      <c r="B9" s="16" t="s">
        <v>105</v>
      </c>
      <c r="C9" s="15"/>
      <c r="D9" s="15"/>
    </row>
  </sheetData>
  <mergeCells count="3">
    <mergeCell ref="A1:D1"/>
    <mergeCell ref="B9:D9"/>
    <mergeCell ref="B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27" customWidth="1"/>
    <col min="3" max="3" width="24" customWidth="1"/>
    <col min="4" max="4" width="32" customWidth="1"/>
    <col min="5" max="5" width="29" customWidth="1"/>
  </cols>
  <sheetData>
    <row r="1" spans="1:5" ht="34" customHeight="1" x14ac:dyDescent="0.35">
      <c r="A1" s="4" t="s">
        <v>26</v>
      </c>
      <c r="B1" s="4" t="s">
        <v>106</v>
      </c>
      <c r="C1" s="4" t="s">
        <v>107</v>
      </c>
      <c r="D1" s="4" t="s">
        <v>108</v>
      </c>
      <c r="E1" s="4" t="s">
        <v>109</v>
      </c>
    </row>
    <row r="2" spans="1:5" x14ac:dyDescent="0.35">
      <c r="A2" s="2" t="s">
        <v>31</v>
      </c>
      <c r="B2" s="6">
        <v>58.21544796318976</v>
      </c>
      <c r="C2" s="6">
        <v>28.110280399133838</v>
      </c>
      <c r="D2" s="6">
        <v>64.40019766391751</v>
      </c>
      <c r="E2" s="6">
        <v>83.361094553925028</v>
      </c>
    </row>
    <row r="3" spans="1:5" x14ac:dyDescent="0.35">
      <c r="A3" s="2" t="s">
        <v>34</v>
      </c>
      <c r="B3" s="6">
        <v>57.417567115713631</v>
      </c>
      <c r="C3" s="6">
        <v>28.73020531987282</v>
      </c>
      <c r="D3" s="6">
        <v>65.136304072947397</v>
      </c>
      <c r="E3" s="6">
        <v>83.446961696344118</v>
      </c>
    </row>
    <row r="4" spans="1:5" x14ac:dyDescent="0.35">
      <c r="A4" s="2" t="s">
        <v>37</v>
      </c>
      <c r="B4" s="6">
        <v>57.134147593809487</v>
      </c>
      <c r="C4" s="6">
        <v>28.56490988171192</v>
      </c>
      <c r="D4" s="6">
        <v>64.21700243089839</v>
      </c>
      <c r="E4" s="6">
        <v>83.777246970589886</v>
      </c>
    </row>
    <row r="5" spans="1:5" x14ac:dyDescent="0.35">
      <c r="A5" s="2" t="s">
        <v>40</v>
      </c>
      <c r="B5" s="6">
        <v>58.667507821979939</v>
      </c>
      <c r="C5" s="6">
        <v>28.340795992399929</v>
      </c>
      <c r="D5" s="6">
        <v>62.411098336738313</v>
      </c>
      <c r="E5" s="6">
        <v>82.512419083948885</v>
      </c>
    </row>
    <row r="6" spans="1:5" x14ac:dyDescent="0.35">
      <c r="A6" s="2" t="s">
        <v>42</v>
      </c>
      <c r="B6" s="6">
        <v>58.648189518191472</v>
      </c>
      <c r="C6" s="6">
        <v>30.1728799122235</v>
      </c>
      <c r="D6" s="6">
        <v>63.527880938480827</v>
      </c>
      <c r="E6" s="6">
        <v>81.857279576836177</v>
      </c>
    </row>
    <row r="7" spans="1:5" x14ac:dyDescent="0.35">
      <c r="A7" s="2" t="s">
        <v>44</v>
      </c>
      <c r="B7" s="6">
        <v>58.278571425310211</v>
      </c>
      <c r="C7" s="6">
        <v>24.805392066684782</v>
      </c>
      <c r="D7" s="6">
        <v>71.463479780667711</v>
      </c>
      <c r="E7" s="6">
        <v>87.421348009359789</v>
      </c>
    </row>
    <row r="8" spans="1:5" x14ac:dyDescent="0.35">
      <c r="A8" s="2" t="s">
        <v>46</v>
      </c>
      <c r="B8" s="6">
        <v>57.81818018175764</v>
      </c>
      <c r="C8" s="6">
        <v>25.364109685048572</v>
      </c>
      <c r="D8" s="6">
        <v>68.318453642309635</v>
      </c>
      <c r="E8" s="6">
        <v>86.548538752434951</v>
      </c>
    </row>
    <row r="9" spans="1:5" x14ac:dyDescent="0.35">
      <c r="A9" s="2" t="s">
        <v>48</v>
      </c>
      <c r="B9" s="6">
        <v>58.810254396720772</v>
      </c>
      <c r="C9" s="6">
        <v>27.661615139095051</v>
      </c>
      <c r="D9" s="6">
        <v>64.94188433719718</v>
      </c>
      <c r="E9" s="6">
        <v>84.213500194780849</v>
      </c>
    </row>
    <row r="10" spans="1:5" x14ac:dyDescent="0.35">
      <c r="A10" s="2" t="s">
        <v>50</v>
      </c>
      <c r="B10" s="6">
        <v>56.127840514303983</v>
      </c>
      <c r="C10" s="6">
        <v>27.81908630780967</v>
      </c>
      <c r="D10" s="6">
        <v>65.121309980015269</v>
      </c>
      <c r="E10" s="6">
        <v>85.016378567023338</v>
      </c>
    </row>
    <row r="11" spans="1:5" x14ac:dyDescent="0.35">
      <c r="A11" s="2" t="s">
        <v>52</v>
      </c>
      <c r="B11" s="6">
        <v>54.621134728788121</v>
      </c>
      <c r="C11" s="6">
        <v>27.711126431549989</v>
      </c>
      <c r="D11" s="6">
        <v>66.600938585384554</v>
      </c>
      <c r="E11" s="6">
        <v>85.908149853886414</v>
      </c>
    </row>
    <row r="12" spans="1:5" x14ac:dyDescent="0.35">
      <c r="A12" s="2" t="s">
        <v>54</v>
      </c>
      <c r="B12" s="6">
        <v>54.957211836888739</v>
      </c>
      <c r="C12" s="6">
        <v>29.195036351794741</v>
      </c>
      <c r="D12" s="6">
        <v>65.568058137815527</v>
      </c>
      <c r="E12" s="6">
        <v>84.900267773754948</v>
      </c>
    </row>
    <row r="13" spans="1:5" x14ac:dyDescent="0.35">
      <c r="A13" s="2" t="s">
        <v>56</v>
      </c>
      <c r="B13" s="6">
        <v>56.568067856246529</v>
      </c>
      <c r="C13" s="6">
        <v>29.089372596141121</v>
      </c>
      <c r="D13" s="6">
        <v>63.755526394748173</v>
      </c>
      <c r="E13" s="6">
        <v>84.679651600438106</v>
      </c>
    </row>
    <row r="14" spans="1:5" x14ac:dyDescent="0.35">
      <c r="A14" s="2" t="s">
        <v>58</v>
      </c>
      <c r="B14" s="6">
        <v>51.959348634405409</v>
      </c>
      <c r="C14" s="6">
        <v>28.39774682955693</v>
      </c>
      <c r="D14" s="6">
        <v>68.009414717433486</v>
      </c>
      <c r="E14" s="6">
        <v>84.563705858172057</v>
      </c>
    </row>
    <row r="15" spans="1:5" x14ac:dyDescent="0.35">
      <c r="A15" s="2" t="s">
        <v>60</v>
      </c>
      <c r="B15" s="6">
        <v>51.521793203192082</v>
      </c>
      <c r="C15" s="6">
        <v>28.383720337563801</v>
      </c>
      <c r="D15" s="6">
        <v>67.521348752467404</v>
      </c>
      <c r="E15" s="6">
        <v>84.936170522375676</v>
      </c>
    </row>
    <row r="16" spans="1:5" x14ac:dyDescent="0.35">
      <c r="A16" s="2" t="s">
        <v>62</v>
      </c>
      <c r="B16" s="6">
        <v>51.835517635771907</v>
      </c>
      <c r="C16" s="6">
        <v>28.42480496543789</v>
      </c>
      <c r="D16" s="6">
        <v>66.360664933873124</v>
      </c>
      <c r="E16" s="6">
        <v>84.827039808435146</v>
      </c>
    </row>
    <row r="17" spans="1:5" x14ac:dyDescent="0.35">
      <c r="A17" s="2" t="s">
        <v>64</v>
      </c>
      <c r="B17" s="6">
        <v>51.645288657794232</v>
      </c>
      <c r="C17" s="6">
        <v>27.876272593335909</v>
      </c>
      <c r="D17" s="6">
        <v>66.546699688085852</v>
      </c>
      <c r="E17" s="6">
        <v>84.13267054864626</v>
      </c>
    </row>
    <row r="18" spans="1:5" x14ac:dyDescent="0.35">
      <c r="A18" s="2" t="s">
        <v>66</v>
      </c>
      <c r="B18" s="6">
        <v>52.529561491944648</v>
      </c>
      <c r="C18" s="6">
        <v>27.39100252269488</v>
      </c>
      <c r="D18" s="6">
        <v>66.531227592165848</v>
      </c>
      <c r="E18" s="6">
        <v>84.273538566502225</v>
      </c>
    </row>
    <row r="19" spans="1:5" x14ac:dyDescent="0.35">
      <c r="A19" s="2" t="s">
        <v>68</v>
      </c>
      <c r="B19" s="6">
        <v>50.8087808365296</v>
      </c>
      <c r="C19" s="6">
        <v>27.86648465023449</v>
      </c>
      <c r="D19" s="6">
        <v>68.959447192414288</v>
      </c>
      <c r="E19" s="6">
        <v>84.197933577856617</v>
      </c>
    </row>
    <row r="20" spans="1:5" x14ac:dyDescent="0.35">
      <c r="A20" s="2" t="s">
        <v>70</v>
      </c>
      <c r="B20" s="6">
        <v>50.666993083861321</v>
      </c>
      <c r="C20" s="6">
        <v>28.364387476479489</v>
      </c>
      <c r="D20" s="6">
        <v>68.150633613053117</v>
      </c>
      <c r="E20" s="6">
        <v>84.673057082725904</v>
      </c>
    </row>
    <row r="21" spans="1:5" x14ac:dyDescent="0.35">
      <c r="A21" s="2" t="s">
        <v>72</v>
      </c>
      <c r="B21" s="6">
        <v>51.100532404341372</v>
      </c>
      <c r="C21" s="6">
        <v>28.403560526336079</v>
      </c>
      <c r="D21" s="6">
        <v>68.745996928934431</v>
      </c>
      <c r="E21" s="6">
        <v>84.099857660554378</v>
      </c>
    </row>
  </sheetData>
  <autoFilter ref="A1:E2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unificada</vt:lpstr>
      <vt:lpstr>Resumen de promedios</vt:lpstr>
      <vt:lpstr>Diccionario</vt:lpstr>
      <vt:lpstr>Verificación</vt:lpstr>
      <vt:lpstr>Series para gráficas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Alberto Krohne Cabarique</cp:lastModifiedBy>
  <dcterms:created xsi:type="dcterms:W3CDTF">2026-10-22T16:54:19Z</dcterms:created>
  <dcterms:modified xsi:type="dcterms:W3CDTF">2026-10-28T17:15:12Z</dcterms:modified>
</cp:coreProperties>
</file>